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нутренний расчёт" sheetId="2" state="visible" r:id="rId2"/>
    <sheet xmlns:r="http://schemas.openxmlformats.org/officeDocument/2006/relationships" name="Исходные данны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 ##0"/>
    <numFmt numFmtId="165" formatCode="# ##0.00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0"/>
    </font>
    <font>
      <name val="Arial"/>
      <b val="1"/>
      <sz val="10"/>
    </font>
    <font>
      <name val="Arial"/>
      <color rgb="003767A4"/>
      <sz val="10"/>
    </font>
  </fonts>
  <fills count="4">
    <fill>
      <patternFill/>
    </fill>
    <fill>
      <patternFill patternType="gray125"/>
    </fill>
    <fill>
      <patternFill patternType="solid">
        <fgColor rgb="007A1F2E"/>
        <bgColor rgb="007A1F2E"/>
      </patternFill>
    </fill>
    <fill>
      <patternFill patternType="solid">
        <fgColor rgb="00F4EEE3"/>
        <bgColor rgb="00F4EEE3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right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166" fontId="2" fillId="0" borderId="0" applyAlignment="1" pivotButton="0" quotePrefix="0" xfId="0">
      <alignment horizontal="right"/>
    </xf>
    <xf numFmtId="2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5F5E3"/>
          <bgColor rgb="00D5F5E3"/>
        </patternFill>
      </fill>
    </dxf>
    <dxf>
      <fill>
        <patternFill patternType="solid">
          <fgColor rgb="00FEF3C7"/>
          <bgColor rgb="00FEF3C7"/>
        </patternFill>
      </fill>
    </dxf>
    <dxf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9" customWidth="1" min="1" max="1"/>
    <col width="29" customWidth="1" min="2" max="2"/>
    <col width="23" customWidth="1" min="3" max="3"/>
    <col width="12" customWidth="1" min="4" max="4"/>
    <col width="13" customWidth="1" min="5" max="5"/>
    <col width="16" customWidth="1" min="6" max="6"/>
  </cols>
  <sheetData>
    <row r="1" ht="24" customHeight="1">
      <c r="A1" s="1" t="inlineStr">
        <is>
          <t>Смета по проекту: Ответ на уведомление экспертизы</t>
        </is>
      </c>
    </row>
    <row r="2">
      <c r="A2" s="2" t="inlineStr">
        <is>
          <t>Исполнитель: Демо-фирма «Слайд 3»</t>
        </is>
      </c>
    </row>
    <row r="3">
      <c r="A3" s="2" t="inlineStr">
        <is>
          <t>Заказчик: ИП Смирнов</t>
        </is>
      </c>
    </row>
    <row r="4">
      <c r="A4" s="2" t="inlineStr">
        <is>
          <t>Дата: 25.10.2026</t>
        </is>
      </c>
    </row>
    <row r="5">
      <c r="A5" s="2" t="inlineStr">
        <is>
          <t>Налоговый режим: УСН «доходы» 6% + НДС 5%</t>
        </is>
      </c>
    </row>
    <row r="6"/>
    <row r="7">
      <c r="A7" s="3" t="inlineStr">
        <is>
          <t>№</t>
        </is>
      </c>
      <c r="B7" s="3" t="inlineStr">
        <is>
          <t>Этап</t>
        </is>
      </c>
      <c r="C7" s="3" t="inlineStr">
        <is>
          <t>Исполнитель</t>
        </is>
      </c>
      <c r="D7" s="3" t="inlineStr">
        <is>
          <t>Часы</t>
        </is>
      </c>
      <c r="E7" s="3" t="inlineStr">
        <is>
          <t>Ставка, ₽/ч</t>
        </is>
      </c>
      <c r="F7" s="3" t="inlineStr">
        <is>
          <t>Стоимость, ₽</t>
        </is>
      </c>
    </row>
    <row r="8">
      <c r="A8" s="2" t="n">
        <v>1</v>
      </c>
      <c r="B8" s="2" t="inlineStr">
        <is>
          <t>Анализ уведомления и ответ</t>
        </is>
      </c>
      <c r="C8" s="2" t="inlineStr">
        <is>
          <t>Партнёр (Партнёр)</t>
        </is>
      </c>
      <c r="D8" s="4" t="n">
        <v>2</v>
      </c>
      <c r="E8" s="4" t="n">
        <v>10000</v>
      </c>
      <c r="F8" s="4">
        <f>D8*E8</f>
        <v/>
      </c>
    </row>
    <row r="9">
      <c r="A9" s="2" t="n">
        <v>2</v>
      </c>
      <c r="B9" s="2" t="inlineStr">
        <is>
          <t>Анализ уведомления и ответ</t>
        </is>
      </c>
      <c r="C9" s="2" t="inlineStr">
        <is>
          <t>Юрист (Младший юрист)</t>
        </is>
      </c>
      <c r="D9" s="4" t="n">
        <v>10</v>
      </c>
      <c r="E9" s="4" t="n">
        <v>5000</v>
      </c>
      <c r="F9" s="4">
        <f>D9*E9</f>
        <v/>
      </c>
    </row>
    <row r="10">
      <c r="A10" s="2" t="inlineStr"/>
      <c r="B10" s="2" t="inlineStr">
        <is>
          <t>Стоимость по ставкам</t>
        </is>
      </c>
      <c r="C10" s="2" t="inlineStr"/>
      <c r="D10" s="4" t="inlineStr"/>
      <c r="E10" s="4" t="inlineStr"/>
      <c r="F10" s="4">
        <f>SUM(F8:F9)</f>
        <v/>
      </c>
    </row>
    <row r="11">
      <c r="A11" s="2" t="inlineStr"/>
      <c r="B11" s="2" t="inlineStr">
        <is>
          <t>Скидка до потолка стоимости</t>
        </is>
      </c>
      <c r="C11" s="2" t="inlineStr"/>
      <c r="D11" s="4" t="inlineStr"/>
      <c r="E11" s="4" t="inlineStr"/>
      <c r="F11" s="4">
        <f>MIN(F10,60000)-F10</f>
        <v/>
      </c>
    </row>
    <row r="12">
      <c r="A12" s="5" t="inlineStr"/>
      <c r="B12" s="5" t="inlineStr">
        <is>
          <t>Итого за услуги без НДС</t>
        </is>
      </c>
      <c r="C12" s="5" t="inlineStr"/>
      <c r="D12" s="6" t="inlineStr"/>
      <c r="E12" s="6" t="inlineStr"/>
      <c r="F12" s="6">
        <f>F10+F11</f>
        <v/>
      </c>
    </row>
    <row r="13">
      <c r="A13" s="2" t="inlineStr"/>
      <c r="B13" s="2" t="inlineStr">
        <is>
          <t>НДС 5%</t>
        </is>
      </c>
      <c r="C13" s="2" t="inlineStr"/>
      <c r="D13" s="4" t="inlineStr"/>
      <c r="E13" s="4" t="inlineStr"/>
      <c r="F13" s="4">
        <f>F12*0.05</f>
        <v/>
      </c>
    </row>
    <row r="14"/>
    <row r="15">
      <c r="A15" s="5" t="inlineStr"/>
      <c r="B15" s="5" t="inlineStr">
        <is>
          <t>Итого к оплате</t>
        </is>
      </c>
      <c r="C15" s="5" t="inlineStr"/>
      <c r="D15" s="6" t="inlineStr"/>
      <c r="E15" s="6" t="inlineStr"/>
      <c r="F15" s="6">
        <f>F12+F13</f>
        <v/>
      </c>
    </row>
    <row r="16"/>
    <row r="17"/>
    <row r="18">
      <c r="A18" s="2" t="inlineStr">
        <is>
          <t>Смета действительна 14 дней с даты составления.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18" customWidth="1" min="3" max="3"/>
    <col width="19" customWidth="1" min="4" max="4"/>
    <col width="16" customWidth="1" min="5" max="5"/>
    <col width="16" customWidth="1" min="6" max="6"/>
    <col width="16" customWidth="1" min="7" max="7"/>
    <col width="16" customWidth="1" min="8" max="8"/>
    <col width="22" customWidth="1" min="9" max="9"/>
    <col width="17" customWidth="1" min="10" max="10"/>
    <col width="20" customWidth="1" min="11" max="11"/>
    <col width="16" customWidth="1" min="12" max="12"/>
    <col width="23" customWidth="1" min="13" max="13"/>
    <col width="16" customWidth="1" min="14" max="14"/>
  </cols>
  <sheetData>
    <row r="1" ht="24" customHeight="1">
      <c r="A1" s="1" t="inlineStr">
        <is>
          <t>Внутренний расчёт проекта</t>
        </is>
      </c>
    </row>
    <row r="2"/>
    <row r="3">
      <c r="A3" s="3" t="inlineStr">
        <is>
          <t>Показатель</t>
        </is>
      </c>
      <c r="B3" s="3" t="inlineStr">
        <is>
          <t>Значение</t>
        </is>
      </c>
    </row>
    <row r="4">
      <c r="A4" s="2" t="inlineStr">
        <is>
          <t>Выручка за услуги без НДС, ₽</t>
        </is>
      </c>
      <c r="B4" s="4">
        <f>MIN(SUM('Исходные данные'!$J$35:$J$36),'Исходные данные'!$B$8)/(1+'Исходные данные'!$B$15*'Исходные данные'!$B$7)</f>
        <v/>
      </c>
    </row>
    <row r="5">
      <c r="A5" s="2" t="inlineStr">
        <is>
          <t>НДС (сверху), ₽</t>
        </is>
      </c>
      <c r="B5" s="4">
        <f>'Исходные данные'!$B$15*$B$4</f>
        <v/>
      </c>
    </row>
    <row r="6">
      <c r="A6" s="2" t="inlineStr">
        <is>
          <t>Возмещаемые расходы, ₽</t>
        </is>
      </c>
      <c r="B6" s="4">
        <f>SUMIF('Исходные данные'!$B$40:$B$40,"возмещаемый",'Исходные данные'!$G$40:$G$40)</f>
        <v/>
      </c>
    </row>
    <row r="7">
      <c r="A7" s="2" t="inlineStr">
        <is>
          <t>Итого к оплате клиентом, ₽</t>
        </is>
      </c>
      <c r="B7" s="4">
        <f>$B$4+$B$5+$B$6</f>
        <v/>
      </c>
    </row>
    <row r="8">
      <c r="A8" s="2" t="inlineStr">
        <is>
          <t>Прямые трудозатраты, ₽</t>
        </is>
      </c>
      <c r="B8" s="4">
        <f>SUM('Исходные данные'!$K$35:$K$36)</f>
        <v/>
      </c>
    </row>
    <row r="9">
      <c r="A9" s="2" t="inlineStr">
        <is>
          <t>в т. ч. стоимость недозагрузки, ₽</t>
        </is>
      </c>
      <c r="B9" s="4">
        <f>SUM('Исходные данные'!$L$35:$L$36)</f>
        <v/>
      </c>
    </row>
    <row r="10">
      <c r="A10" s="2" t="inlineStr">
        <is>
          <t>Накладные (распределённые), ₽</t>
        </is>
      </c>
      <c r="B10" s="4">
        <f>'Исходные данные'!$B$31*SUM('Исходные данные'!$D$35:$D$36)</f>
        <v/>
      </c>
    </row>
    <row r="11">
      <c r="A11" s="2" t="inlineStr">
        <is>
          <t>Собственные расходы, ₽</t>
        </is>
      </c>
      <c r="B11" s="4">
        <f>SUMIF('Исходные данные'!$B$40:$B$40,"собственный",'Исходные данные'!$G$40:$G$40)</f>
        <v/>
      </c>
    </row>
    <row r="12">
      <c r="A12" s="2" t="inlineStr">
        <is>
          <t>Все издержки проекта, ₽</t>
        </is>
      </c>
      <c r="B12" s="4">
        <f>$B$8+$B$10+$B$11</f>
        <v/>
      </c>
    </row>
    <row r="13">
      <c r="A13" s="2" t="inlineStr">
        <is>
          <t>Налог на доход или прибыль, ₽</t>
        </is>
      </c>
      <c r="B13" s="4">
        <f>MAX($B$33,$B$34)</f>
        <v/>
      </c>
    </row>
    <row r="14">
      <c r="A14" s="2" t="inlineStr">
        <is>
          <t>Чистая прибыль (NNE), ₽</t>
        </is>
      </c>
      <c r="B14" s="4">
        <f>$B$4-$B$12-$B$13</f>
        <v/>
      </c>
    </row>
    <row r="15">
      <c r="A15" s="2" t="inlineStr">
        <is>
          <t>Маржа, %</t>
        </is>
      </c>
      <c r="B15" s="7">
        <f>IF($B$4&gt;0,$B$14/$B$4,0)</f>
        <v/>
      </c>
    </row>
    <row r="16">
      <c r="A16" s="2" t="inlineStr">
        <is>
          <t>Целевая маржа, %</t>
        </is>
      </c>
      <c r="B16" s="7">
        <f>'Исходные данные'!$B$9</f>
        <v/>
      </c>
    </row>
    <row r="17">
      <c r="A17" s="2" t="inlineStr">
        <is>
          <t>Ставка накладных, ₽/ч</t>
        </is>
      </c>
      <c r="B17" s="4">
        <f>'Исходные данные'!$B$31</f>
        <v/>
      </c>
    </row>
    <row r="18">
      <c r="A18" s="2" t="inlineStr">
        <is>
          <t>Средневзвешенная ставка, ₽/ч</t>
        </is>
      </c>
      <c r="B18" s="4">
        <f>IF(SUM('Исходные данные'!$D$35:$D$36)&gt;0,SUM('Исходные данные'!$J$35:$J$36)/SUM('Исходные данные'!$D$35:$D$36),0)</f>
        <v/>
      </c>
    </row>
    <row r="19">
      <c r="A19" s="2" t="inlineStr">
        <is>
          <t>Коэффициент рычага</t>
        </is>
      </c>
      <c r="B19" s="8">
        <f>IF(SUMIF('Исходные данные'!$C$35:$C$36,"старший",'Исходные данные'!$D$35:$D$36)&gt;0,SUMIF('Исходные данные'!$C$35:$C$36,"младший",'Исходные данные'!$D$35:$D$36)/SUMIF('Исходные данные'!$C$35:$C$36,"старший",'Исходные данные'!$D$35:$D$36),0)</f>
        <v/>
      </c>
    </row>
    <row r="20">
      <c r="A20" s="2" t="inlineStr">
        <is>
          <t>Налоговый режим</t>
        </is>
      </c>
      <c r="B20" s="2" t="inlineStr">
        <is>
          <t>УСН «доходы» 6% + НДС 5%</t>
        </is>
      </c>
    </row>
    <row r="21"/>
    <row r="22"/>
    <row r="23">
      <c r="A23" s="9" t="inlineStr">
        <is>
          <t>Анализ этапов</t>
        </is>
      </c>
    </row>
    <row r="24">
      <c r="A24" s="3" t="inlineStr">
        <is>
          <t>Этап</t>
        </is>
      </c>
      <c r="B24" s="3" t="inlineStr">
        <is>
          <t>Часы</t>
        </is>
      </c>
      <c r="C24" s="3" t="inlineStr">
        <is>
          <t>Выручка этапа, ₽</t>
        </is>
      </c>
      <c r="D24" s="3" t="inlineStr">
        <is>
          <t>Издержки этапа, ₽</t>
        </is>
      </c>
      <c r="E24" s="3" t="inlineStr">
        <is>
          <t>Налог этапа, ₽</t>
        </is>
      </c>
      <c r="F24" s="3" t="inlineStr">
        <is>
          <t>NNE этапа, ₽</t>
        </is>
      </c>
      <c r="G24" s="3" t="inlineStr">
        <is>
          <t>Маржа, %</t>
        </is>
      </c>
      <c r="H24" s="3" t="inlineStr">
        <is>
          <t>Статус</t>
        </is>
      </c>
      <c r="I24" s="3" t="inlineStr">
        <is>
          <t>Теневая стоимость, ₽</t>
        </is>
      </c>
      <c r="J24" s="3" t="inlineStr">
        <is>
          <t>Трудозатраты, ₽</t>
        </is>
      </c>
      <c r="K24" s="3" t="inlineStr">
        <is>
          <t>Взносы на часах, ₽</t>
        </is>
      </c>
      <c r="L24" s="3" t="inlineStr">
        <is>
          <t>Из прибыли, ₽</t>
        </is>
      </c>
      <c r="M24" s="3" t="inlineStr">
        <is>
          <t>Свои расходы этапа, ₽</t>
        </is>
      </c>
      <c r="N24" s="3" t="inlineStr">
        <is>
          <t>Доля выручки</t>
        </is>
      </c>
    </row>
    <row r="25">
      <c r="A25" s="2" t="inlineStr">
        <is>
          <t>Анализ уведомления и ответ</t>
        </is>
      </c>
      <c r="B25" s="8">
        <f>SUMIF('Исходные данные'!$A$35:$A$36,$A25,'Исходные данные'!$D$35:$D$36)</f>
        <v/>
      </c>
      <c r="C25" s="4">
        <f>$B$4*N25</f>
        <v/>
      </c>
      <c r="D25" s="4">
        <f>J25+'Исходные данные'!$B$31*B25+M25+($B$11-SUM($M$25:$M$25))*N25</f>
        <v/>
      </c>
      <c r="E25" s="4">
        <f>IF($B$35="по ставке с выручки этапа",'Исходные данные'!$B$12*C25-IF('Исходные данные'!$B$14&gt;0,K25,0),IF($B$35="по прибыли этапа",'Исходные данные'!$B$12*(C25-D25+L25),IF($B$4&gt;0,$B$13*C25/$B$4,0)))</f>
        <v/>
      </c>
      <c r="F25" s="4">
        <f>C25-D25-E25</f>
        <v/>
      </c>
      <c r="G25" s="7">
        <f>IF(C25&gt;0,F25/C25,0)</f>
        <v/>
      </c>
      <c r="H25" s="2">
        <f>IF(ROUND(G25,6)&lt;=0,"Убыточный",IF(ROUND(G25,6)&gt;=$B$16,"Норма","Низкая маржа"))</f>
        <v/>
      </c>
      <c r="I25" s="4">
        <f>SUMIF('Исходные данные'!$A$35:$A$36,$A25,'Исходные данные'!$J$35:$J$36)</f>
        <v/>
      </c>
      <c r="J25" s="4">
        <f>SUMIF('Исходные данные'!$A$35:$A$36,$A25,'Исходные данные'!$K$35:$K$36)</f>
        <v/>
      </c>
      <c r="K25" s="4">
        <f>SUMIF('Исходные данные'!$A$35:$A$36,$A25,'Исходные данные'!$M$35:$M$36)</f>
        <v/>
      </c>
      <c r="L25" s="4">
        <f>SUMIF('Исходные данные'!$A$35:$A$36,$A25,'Исходные данные'!$N$35:$N$36)</f>
        <v/>
      </c>
      <c r="M25" s="4">
        <f>SUMIFS('Исходные данные'!$G$40:$G$40,'Исходные данные'!$B$40:$B$40,"собственный",'Исходные данные'!$C$40:$C$40,$A25)</f>
        <v/>
      </c>
      <c r="N25" s="7">
        <f>IF(SUM('Исходные данные'!$J$35:$J$36)&gt;0,I25/SUM('Исходные данные'!$J$35:$J$36),IF(SUM('Исходные данные'!$K$35:$K$36)&gt;0,J25/SUM('Исходные данные'!$K$35:$K$36),IF(SUM('Исходные данные'!$D$35:$D$36)&gt;0,B25/SUM('Исходные данные'!$D$35:$D$36),0)))</f>
        <v/>
      </c>
    </row>
    <row r="26"/>
    <row r="27">
      <c r="A27" s="9" t="inlineStr">
        <is>
          <t>Расчёт налога</t>
        </is>
      </c>
    </row>
    <row r="28">
      <c r="A28" s="2" t="inlineStr">
        <is>
          <t>База налога</t>
        </is>
      </c>
      <c r="B28" s="2">
        <f>'Исходные данные'!$B$11</f>
        <v/>
      </c>
    </row>
    <row r="29">
      <c r="A29" s="2" t="inlineStr">
        <is>
          <t>Взносы на часах проекта S</t>
        </is>
      </c>
      <c r="B29" s="4">
        <f>SUM('Исходные данные'!$M$35:$M$36)</f>
        <v/>
      </c>
    </row>
    <row r="30">
      <c r="A30" s="2" t="inlineStr">
        <is>
          <t>Вознаграждение из прибыли N</t>
        </is>
      </c>
      <c r="B30" s="4">
        <f>SUM('Исходные данные'!$N$35:$N$36)</f>
        <v/>
      </c>
    </row>
    <row r="31">
      <c r="A31" s="2" t="inlineStr">
        <is>
          <t>Налоговая база</t>
        </is>
      </c>
      <c r="B31" s="4">
        <f>IF($B$28="доходы",$B$4,MAX($B$4-$B$12+$B$30,0))</f>
        <v/>
      </c>
    </row>
    <row r="32">
      <c r="A32" s="2" t="inlineStr">
        <is>
          <t>Уменьшение налога на взносы</t>
        </is>
      </c>
      <c r="B32" s="4">
        <f>IF($B$28="доходы",MIN($B$29,'Исходные данные'!$B$14*'Исходные данные'!$B$12*$B$4),0)</f>
        <v/>
      </c>
    </row>
    <row r="33">
      <c r="A33" s="2" t="inlineStr">
        <is>
          <t>Налог до минимального</t>
        </is>
      </c>
      <c r="B33" s="4">
        <f>'Исходные данные'!$B$12*$B$31-$B$32</f>
        <v/>
      </c>
    </row>
    <row r="34">
      <c r="A34" s="2" t="inlineStr">
        <is>
          <t>Минимальный налог</t>
        </is>
      </c>
      <c r="B34" s="4">
        <f>'Исходные данные'!$B$13*$B$4</f>
        <v/>
      </c>
    </row>
    <row r="35">
      <c r="A35" s="2" t="inlineStr">
        <is>
          <t>Налог этапов</t>
        </is>
      </c>
      <c r="B35" s="2">
        <f>IF(AND($B$28="доходы",IF('Исходные данные'!$B$14&gt;0,$B$29,0)&lt;=$B$32),"по ставке с выручки этапа",IF(AND(NOT($B$28="доходы"),$B$34&lt;=$B$33,$B$13&gt;0),"по прибыли этапа","пропорционально выручке"))</f>
        <v/>
      </c>
    </row>
  </sheetData>
  <mergeCells count="1">
    <mergeCell ref="A1:B1"/>
  </mergeCells>
  <conditionalFormatting sqref="A25:H25">
    <cfRule type="expression" priority="1" dxfId="0">
      <formula>$H25="Норма"</formula>
    </cfRule>
    <cfRule type="expression" priority="2" dxfId="1">
      <formula>$H25="Низкая маржа"</formula>
    </cfRule>
    <cfRule type="expression" priority="3" dxfId="2">
      <formula>$H25="Убыточный"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19" customWidth="1" min="3" max="3"/>
    <col width="23" customWidth="1" min="4" max="4"/>
    <col width="23" customWidth="1" min="5" max="5"/>
    <col width="25" customWidth="1" min="6" max="6"/>
    <col width="31" customWidth="1" min="7" max="7"/>
    <col width="31" customWidth="1" min="8" max="8"/>
    <col width="20" customWidth="1" min="9" max="9"/>
    <col width="16" customWidth="1" min="10" max="10"/>
    <col width="20" customWidth="1" min="11" max="11"/>
    <col width="26" customWidth="1" min="12" max="12"/>
    <col width="26" customWidth="1" min="13" max="13"/>
    <col width="18" customWidth="1" min="14" max="14"/>
    <col width="18" customWidth="1" min="15" max="15"/>
    <col width="18" customWidth="1" min="16" max="16"/>
    <col width="23" customWidth="1" min="17" max="17"/>
    <col width="19" customWidth="1" min="18" max="18"/>
  </cols>
  <sheetData>
    <row r="1" ht="24" customHeight="1">
      <c r="A1" s="1" t="inlineStr">
        <is>
          <t>Исходные данные расчёта</t>
        </is>
      </c>
    </row>
    <row r="2">
      <c r="A2" s="2" t="inlineStr">
        <is>
          <t>Суммы — в валюте проекта после пересчёта по курсам. Синие ячейки — входные данные, чёрные — формулы; листы «Смета» и «Внутренний расчёт» пересчитываются по ним.</t>
        </is>
      </c>
    </row>
    <row r="3"/>
    <row r="4">
      <c r="A4" s="9" t="inlineStr">
        <is>
          <t>Параметры</t>
        </is>
      </c>
    </row>
    <row r="5">
      <c r="A5" s="2" t="inlineStr">
        <is>
          <t>Валюта проекта</t>
        </is>
      </c>
      <c r="B5" s="10" t="inlineStr">
        <is>
          <t>RUB</t>
        </is>
      </c>
    </row>
    <row r="6">
      <c r="A6" s="2" t="inlineStr">
        <is>
          <t>Модель цены</t>
        </is>
      </c>
      <c r="B6" s="10" t="inlineStr">
        <is>
          <t>почасовая с потолком</t>
        </is>
      </c>
    </row>
    <row r="7">
      <c r="A7" s="2" t="inlineStr">
        <is>
          <t>Цены указаны с НДС (1 — да, 0 — нет)</t>
        </is>
      </c>
      <c r="B7" s="10" t="n">
        <v>0</v>
      </c>
    </row>
    <row r="8">
      <c r="A8" s="2" t="inlineStr">
        <is>
          <t>Потолок или согласованная цена</t>
        </is>
      </c>
      <c r="B8" s="11" t="n">
        <v>60000</v>
      </c>
    </row>
    <row r="9">
      <c r="A9" s="2" t="inlineStr">
        <is>
          <t>Целевая маржа m*</t>
        </is>
      </c>
      <c r="B9" s="12" t="n">
        <v>0.3</v>
      </c>
    </row>
    <row r="10">
      <c r="A10" s="2" t="inlineStr">
        <is>
          <t>Налоговый режим</t>
        </is>
      </c>
      <c r="B10" s="10" t="inlineStr">
        <is>
          <t>УСН «доходы» 6% + НДС 5%</t>
        </is>
      </c>
    </row>
    <row r="11">
      <c r="A11" s="2" t="inlineStr">
        <is>
          <t>База налога</t>
        </is>
      </c>
      <c r="B11" s="10" t="inlineStr">
        <is>
          <t>доходы</t>
        </is>
      </c>
    </row>
    <row r="12">
      <c r="A12" s="2" t="inlineStr">
        <is>
          <t>Ставка налога t</t>
        </is>
      </c>
      <c r="B12" s="12" t="n">
        <v>0.06</v>
      </c>
    </row>
    <row r="13">
      <c r="A13" s="2" t="inlineStr">
        <is>
          <t>Минимальный налог t_min</t>
        </is>
      </c>
      <c r="B13" s="12" t="n">
        <v>0</v>
      </c>
    </row>
    <row r="14">
      <c r="A14" s="2" t="inlineStr">
        <is>
          <t>Предел уменьшения налога на взносы κ</t>
        </is>
      </c>
      <c r="B14" s="12" t="n">
        <v>0.5</v>
      </c>
    </row>
    <row r="15">
      <c r="A15" s="2" t="inlineStr">
        <is>
          <t>Ставка НДС v</t>
        </is>
      </c>
      <c r="B15" s="12" t="n">
        <v>0.05</v>
      </c>
    </row>
    <row r="16"/>
    <row r="17">
      <c r="A17" s="9" t="inlineStr">
        <is>
          <t>Команда фирмы</t>
        </is>
      </c>
    </row>
    <row r="18">
      <c r="A18" s="3" t="inlineStr">
        <is>
          <t>Сотрудник</t>
        </is>
      </c>
      <c r="B18" s="3" t="inlineStr">
        <is>
          <t>Роль</t>
        </is>
      </c>
      <c r="C18" s="3" t="inlineStr">
        <is>
          <t>Группа для рычага</t>
        </is>
      </c>
      <c r="D18" s="3" t="inlineStr">
        <is>
          <t>Валюта</t>
        </is>
      </c>
      <c r="E18" s="3" t="inlineStr">
        <is>
          <t>Курс к валюте проекта</t>
        </is>
      </c>
      <c r="F18" s="3" t="inlineStr">
        <is>
          <t>Оклад или сумма в месяц</t>
        </is>
      </c>
      <c r="G18" s="3" t="inlineStr">
        <is>
          <t>Ставка взносов</t>
        </is>
      </c>
      <c r="H18" s="3" t="inlineStr">
        <is>
          <t>Взносы в стране расчёта (1/0)</t>
        </is>
      </c>
      <c r="I18" s="3" t="inlineStr">
        <is>
          <t>Контрактные часы H</t>
        </is>
      </c>
      <c r="J18" s="3" t="inlineStr">
        <is>
          <t>Утилизация u</t>
        </is>
      </c>
      <c r="K18" s="3" t="inlineStr">
        <is>
          <t>Ставка для клиента</t>
        </is>
      </c>
      <c r="L18" s="3" t="inlineStr">
        <is>
          <t>Из прибыли (1/0)</t>
        </is>
      </c>
      <c r="M18" s="3" t="inlineStr">
        <is>
          <t>W = оклад × (1 + взносы)</t>
        </is>
      </c>
      <c r="N18" s="3" t="inlineStr">
        <is>
          <t>K = H × u</t>
        </is>
      </c>
      <c r="O18" s="3" t="inlineStr">
        <is>
          <t>c = W × курс / K</t>
        </is>
      </c>
      <c r="P18" s="3" t="inlineStr">
        <is>
          <t>ĉ = W × курс / H</t>
        </is>
      </c>
      <c r="Q18" s="3" t="inlineStr">
        <is>
          <t>s = взносы × курс / K</t>
        </is>
      </c>
      <c r="R18" s="3" t="inlineStr">
        <is>
          <t>b = ставка × курс</t>
        </is>
      </c>
    </row>
    <row r="19">
      <c r="A19" s="10" t="inlineStr">
        <is>
          <t>Партнёр</t>
        </is>
      </c>
      <c r="B19" s="10" t="inlineStr">
        <is>
          <t>Партнёр</t>
        </is>
      </c>
      <c r="C19" s="10" t="inlineStr">
        <is>
          <t>старший</t>
        </is>
      </c>
      <c r="D19" s="10" t="inlineStr">
        <is>
          <t>RUB</t>
        </is>
      </c>
      <c r="E19" s="10" t="n">
        <v>1</v>
      </c>
      <c r="F19" s="11" t="n">
        <v>400000</v>
      </c>
      <c r="G19" s="12" t="n">
        <v>0</v>
      </c>
      <c r="H19" s="10" t="n">
        <v>1</v>
      </c>
      <c r="I19" s="10" t="n">
        <v>160</v>
      </c>
      <c r="J19" s="12" t="n">
        <v>0.625</v>
      </c>
      <c r="K19" s="11" t="n">
        <v>10000</v>
      </c>
      <c r="L19" s="10" t="n">
        <v>0</v>
      </c>
      <c r="M19" s="13">
        <f>F19*(1+G19)</f>
        <v/>
      </c>
      <c r="N19" s="2">
        <f>I19*J19</f>
        <v/>
      </c>
      <c r="O19" s="13">
        <f>M19*E19/N19</f>
        <v/>
      </c>
      <c r="P19" s="13">
        <f>M19*E19/I19</f>
        <v/>
      </c>
      <c r="Q19" s="13">
        <f>H19*F19*G19*E19/N19</f>
        <v/>
      </c>
      <c r="R19" s="13">
        <f>K19*E19</f>
        <v/>
      </c>
    </row>
    <row r="20">
      <c r="A20" s="10" t="inlineStr">
        <is>
          <t>Юрист</t>
        </is>
      </c>
      <c r="B20" s="10" t="inlineStr">
        <is>
          <t>Младший юрист</t>
        </is>
      </c>
      <c r="C20" s="10" t="inlineStr">
        <is>
          <t>младший</t>
        </is>
      </c>
      <c r="D20" s="10" t="inlineStr">
        <is>
          <t>RUB</t>
        </is>
      </c>
      <c r="E20" s="10" t="n">
        <v>1</v>
      </c>
      <c r="F20" s="11" t="n">
        <v>150000</v>
      </c>
      <c r="G20" s="12" t="n">
        <v>0</v>
      </c>
      <c r="H20" s="10" t="n">
        <v>1</v>
      </c>
      <c r="I20" s="10" t="n">
        <v>160</v>
      </c>
      <c r="J20" s="12" t="n">
        <v>0.625</v>
      </c>
      <c r="K20" s="11" t="n">
        <v>5000</v>
      </c>
      <c r="L20" s="10" t="n">
        <v>0</v>
      </c>
      <c r="M20" s="13">
        <f>F20*(1+G20)</f>
        <v/>
      </c>
      <c r="N20" s="2">
        <f>I20*J20</f>
        <v/>
      </c>
      <c r="O20" s="13">
        <f>M20*E20/N20</f>
        <v/>
      </c>
      <c r="P20" s="13">
        <f>M20*E20/I20</f>
        <v/>
      </c>
      <c r="Q20" s="13">
        <f>H20*F20*G20*E20/N20</f>
        <v/>
      </c>
      <c r="R20" s="13">
        <f>K20*E20</f>
        <v/>
      </c>
    </row>
    <row r="21">
      <c r="A21" s="10" t="inlineStr">
        <is>
          <t>Стажёр</t>
        </is>
      </c>
      <c r="B21" s="10" t="inlineStr">
        <is>
          <t>Стажёр</t>
        </is>
      </c>
      <c r="C21" s="10" t="inlineStr">
        <is>
          <t>младший</t>
        </is>
      </c>
      <c r="D21" s="10" t="inlineStr">
        <is>
          <t>RUB</t>
        </is>
      </c>
      <c r="E21" s="10" t="n">
        <v>1</v>
      </c>
      <c r="F21" s="11" t="n">
        <v>50000</v>
      </c>
      <c r="G21" s="12" t="n">
        <v>0</v>
      </c>
      <c r="H21" s="10" t="n">
        <v>1</v>
      </c>
      <c r="I21" s="10" t="n">
        <v>160</v>
      </c>
      <c r="J21" s="12" t="n">
        <v>0.625</v>
      </c>
      <c r="K21" s="11" t="n">
        <v>2000</v>
      </c>
      <c r="L21" s="10" t="n">
        <v>0</v>
      </c>
      <c r="M21" s="13">
        <f>F21*(1+G21)</f>
        <v/>
      </c>
      <c r="N21" s="2">
        <f>I21*J21</f>
        <v/>
      </c>
      <c r="O21" s="13">
        <f>M21*E21/N21</f>
        <v/>
      </c>
      <c r="P21" s="13">
        <f>M21*E21/I21</f>
        <v/>
      </c>
      <c r="Q21" s="13">
        <f>H21*F21*G21*E21/N21</f>
        <v/>
      </c>
      <c r="R21" s="13">
        <f>K21*E21</f>
        <v/>
      </c>
    </row>
    <row r="22"/>
    <row r="23">
      <c r="A23" s="9" t="inlineStr">
        <is>
          <t>Накладные фирмы</t>
        </is>
      </c>
    </row>
    <row r="24">
      <c r="A24" s="3" t="inlineStr">
        <is>
          <t>Накладной расход</t>
        </is>
      </c>
      <c r="B24" s="3" t="inlineStr">
        <is>
          <t>Сумма</t>
        </is>
      </c>
      <c r="C24" s="3" t="inlineStr">
        <is>
          <t>Валюта</t>
        </is>
      </c>
      <c r="D24" s="3" t="inlineStr">
        <is>
          <t>Курс к валюте проекта</t>
        </is>
      </c>
      <c r="E24" s="3" t="inlineStr">
        <is>
          <t>Период</t>
        </is>
      </c>
      <c r="F24" s="3" t="inlineStr">
        <is>
          <t>Доля в месяц</t>
        </is>
      </c>
      <c r="G24" s="3" t="inlineStr">
        <is>
          <t>В месяц = сумма × курс × доля</t>
        </is>
      </c>
    </row>
    <row r="25">
      <c r="A25" s="10" t="inlineStr">
        <is>
          <t>Аренда офиса</t>
        </is>
      </c>
      <c r="B25" s="11" t="n">
        <v>18000</v>
      </c>
      <c r="C25" s="10" t="inlineStr">
        <is>
          <t>RUB</t>
        </is>
      </c>
      <c r="D25" s="10" t="n">
        <v>1</v>
      </c>
      <c r="E25" s="10" t="inlineStr">
        <is>
          <t>в месяц</t>
        </is>
      </c>
      <c r="F25" s="10" t="n">
        <v>1</v>
      </c>
      <c r="G25" s="13">
        <f>B25*D25*F25</f>
        <v/>
      </c>
    </row>
    <row r="26">
      <c r="A26" s="10" t="inlineStr">
        <is>
          <t>Правовые базы и ПО</t>
        </is>
      </c>
      <c r="B26" s="11" t="n">
        <v>7000</v>
      </c>
      <c r="C26" s="10" t="inlineStr">
        <is>
          <t>RUB</t>
        </is>
      </c>
      <c r="D26" s="10" t="n">
        <v>1</v>
      </c>
      <c r="E26" s="10" t="inlineStr">
        <is>
          <t>в месяц</t>
        </is>
      </c>
      <c r="F26" s="10" t="n">
        <v>1</v>
      </c>
      <c r="G26" s="13">
        <f>B26*D26*F26</f>
        <v/>
      </c>
    </row>
    <row r="27">
      <c r="A27" s="10" t="inlineStr">
        <is>
          <t>Бухгалтерия на аутсорсе</t>
        </is>
      </c>
      <c r="B27" s="11" t="n">
        <v>5000</v>
      </c>
      <c r="C27" s="10" t="inlineStr">
        <is>
          <t>RUB</t>
        </is>
      </c>
      <c r="D27" s="10" t="n">
        <v>1</v>
      </c>
      <c r="E27" s="10" t="inlineStr">
        <is>
          <t>в месяц</t>
        </is>
      </c>
      <c r="F27" s="10" t="n">
        <v>1</v>
      </c>
      <c r="G27" s="13">
        <f>B27*D27*F27</f>
        <v/>
      </c>
    </row>
    <row r="28"/>
    <row r="29">
      <c r="A29" s="2" t="inlineStr">
        <is>
          <t>Накладные в месяц</t>
        </is>
      </c>
      <c r="B29" s="13">
        <f>SUM($G$25:$G$27)</f>
        <v/>
      </c>
    </row>
    <row r="30">
      <c r="A30" s="2" t="inlineStr">
        <is>
          <t>Биллируемая ёмкость фирмы, ч/мес</t>
        </is>
      </c>
      <c r="B30" s="13">
        <f>SUM($N$19:$N$21)</f>
        <v/>
      </c>
    </row>
    <row r="31">
      <c r="A31" s="9" t="inlineStr">
        <is>
          <t>Ставка накладных ρ = накладные / ёмкость</t>
        </is>
      </c>
      <c r="B31" s="13">
        <f>IF($B$30&gt;0,$B$29/$B$30,0)</f>
        <v/>
      </c>
    </row>
    <row r="32"/>
    <row r="33">
      <c r="A33" s="9" t="inlineStr">
        <is>
          <t>Назначения</t>
        </is>
      </c>
    </row>
    <row r="34">
      <c r="A34" s="3" t="inlineStr">
        <is>
          <t>Этап</t>
        </is>
      </c>
      <c r="B34" s="3" t="inlineStr">
        <is>
          <t>Сотрудник</t>
        </is>
      </c>
      <c r="C34" s="3" t="inlineStr">
        <is>
          <t>Группа для рычага</t>
        </is>
      </c>
      <c r="D34" s="3" t="inlineStr">
        <is>
          <t>Часы h</t>
        </is>
      </c>
      <c r="E34" s="3" t="inlineStr">
        <is>
          <t>Ставка b</t>
        </is>
      </c>
      <c r="F34" s="3" t="inlineStr">
        <is>
          <t>Себестоимость часа c</t>
        </is>
      </c>
      <c r="G34" s="3" t="inlineStr">
        <is>
          <t>Контрактного часа ĉ</t>
        </is>
      </c>
      <c r="H34" s="3" t="inlineStr">
        <is>
          <t>Взносы на час s</t>
        </is>
      </c>
      <c r="I34" s="3" t="inlineStr">
        <is>
          <t>Из прибыли</t>
        </is>
      </c>
      <c r="J34" s="3" t="inlineStr">
        <is>
          <t>V = b × h</t>
        </is>
      </c>
      <c r="K34" s="3" t="inlineStr">
        <is>
          <t>Трудозатраты c × h</t>
        </is>
      </c>
      <c r="L34" s="3" t="inlineStr">
        <is>
          <t>Недозагрузка (c − ĉ) × h</t>
        </is>
      </c>
      <c r="M34" s="3" t="inlineStr">
        <is>
          <t>Взносы s × h</t>
        </is>
      </c>
      <c r="N34" s="3" t="inlineStr">
        <is>
          <t>Из прибыли c × h</t>
        </is>
      </c>
    </row>
    <row r="35">
      <c r="A35" s="10" t="inlineStr">
        <is>
          <t>Анализ уведомления и ответ</t>
        </is>
      </c>
      <c r="B35" s="10" t="inlineStr">
        <is>
          <t>Партнёр</t>
        </is>
      </c>
      <c r="C35" s="2">
        <f>C19</f>
        <v/>
      </c>
      <c r="D35" s="10" t="n">
        <v>2</v>
      </c>
      <c r="E35" s="13">
        <f>R19</f>
        <v/>
      </c>
      <c r="F35" s="13">
        <f>O19</f>
        <v/>
      </c>
      <c r="G35" s="13">
        <f>P19</f>
        <v/>
      </c>
      <c r="H35" s="13">
        <f>Q19</f>
        <v/>
      </c>
      <c r="I35" s="2">
        <f>L19</f>
        <v/>
      </c>
      <c r="J35" s="13">
        <f>E35*D35</f>
        <v/>
      </c>
      <c r="K35" s="13">
        <f>F35*D35</f>
        <v/>
      </c>
      <c r="L35" s="13">
        <f>(F35-G35)*D35</f>
        <v/>
      </c>
      <c r="M35" s="13">
        <f>H35*D35</f>
        <v/>
      </c>
      <c r="N35" s="13">
        <f>IF(I35=1,K35,0)</f>
        <v/>
      </c>
    </row>
    <row r="36">
      <c r="A36" s="10" t="inlineStr">
        <is>
          <t>Анализ уведомления и ответ</t>
        </is>
      </c>
      <c r="B36" s="10" t="inlineStr">
        <is>
          <t>Юрист</t>
        </is>
      </c>
      <c r="C36" s="2">
        <f>C20</f>
        <v/>
      </c>
      <c r="D36" s="10" t="n">
        <v>10</v>
      </c>
      <c r="E36" s="13">
        <f>R20</f>
        <v/>
      </c>
      <c r="F36" s="13">
        <f>O20</f>
        <v/>
      </c>
      <c r="G36" s="13">
        <f>P20</f>
        <v/>
      </c>
      <c r="H36" s="13">
        <f>Q20</f>
        <v/>
      </c>
      <c r="I36" s="2">
        <f>L20</f>
        <v/>
      </c>
      <c r="J36" s="13">
        <f>E36*D36</f>
        <v/>
      </c>
      <c r="K36" s="13">
        <f>F36*D36</f>
        <v/>
      </c>
      <c r="L36" s="13">
        <f>(F36-G36)*D36</f>
        <v/>
      </c>
      <c r="M36" s="13">
        <f>H36*D36</f>
        <v/>
      </c>
      <c r="N36" s="13">
        <f>IF(I36=1,K36,0)</f>
        <v/>
      </c>
    </row>
    <row r="37"/>
    <row r="38">
      <c r="A38" s="9" t="inlineStr">
        <is>
          <t>Расходы проекта</t>
        </is>
      </c>
    </row>
    <row r="39">
      <c r="A39" s="3" t="inlineStr">
        <is>
          <t>Расход</t>
        </is>
      </c>
      <c r="B39" s="3" t="inlineStr">
        <is>
          <t>Тип</t>
        </is>
      </c>
      <c r="C39" s="3" t="inlineStr">
        <is>
          <t>Этап</t>
        </is>
      </c>
      <c r="D39" s="3" t="inlineStr">
        <is>
          <t>Сумма</t>
        </is>
      </c>
      <c r="E39" s="3" t="inlineStr">
        <is>
          <t>Валюта</t>
        </is>
      </c>
      <c r="F39" s="3" t="inlineStr">
        <is>
          <t>Курс к валюте проекта</t>
        </is>
      </c>
      <c r="G39" s="3" t="inlineStr">
        <is>
          <t>В валюте проекта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2026-10-25T00:00:00Z</dcterms:created>
  <dcterms:modified xmlns:dcterms="http://purl.org/dc/terms/" xmlns:xsi="http://www.w3.org/2001/XMLSchema-instance" xsi:type="dcterms:W3CDTF">2026-10-25T00:00:00Z</dcterms:modified>
</cp:coreProperties>
</file>